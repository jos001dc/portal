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OPLE\Desktop\2DO_TRIMESTRE_2025\art70\fracciones\21\"/>
    </mc:Choice>
  </mc:AlternateContent>
  <xr:revisionPtr revIDLastSave="0" documentId="13_ncr:1_{0FB3FB15-A7CA-442B-BC82-466096A9C42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porte de Formatos" sheetId="1" r:id="rId1"/>
    <sheet name="Tabla_43956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2" l="1"/>
  <c r="I7" i="2"/>
  <c r="I6" i="2"/>
  <c r="I5" i="2"/>
  <c r="I4" i="2"/>
  <c r="I13" i="2"/>
  <c r="I12" i="2"/>
  <c r="I11" i="2"/>
  <c r="E11" i="2"/>
  <c r="I10" i="2"/>
  <c r="I9" i="2"/>
</calcChain>
</file>

<file path=xl/sharedStrings.xml><?xml version="1.0" encoding="utf-8"?>
<sst xmlns="http://schemas.openxmlformats.org/spreadsheetml/2006/main" count="87" uniqueCount="57">
  <si>
    <t>49176</t>
  </si>
  <si>
    <t>TÍTULO</t>
  </si>
  <si>
    <t>NOMBRE CORTO</t>
  </si>
  <si>
    <t>DESCRIPCIÓN</t>
  </si>
  <si>
    <t>Presupuesto asignado_Ejercicio de los egresos presupuestarios</t>
  </si>
  <si>
    <t>LTAIPVIL15XXIb</t>
  </si>
  <si>
    <t>El ejercicio de los egresos presupuestarios pertenece al Estado Analítico del Ejercicio del Presupuesto de Egresos, generado de manera periódica y de acuerdo con la Ley General de Contabilidad Gubernamental éste deberá contener únicamente los datos desglosados correspondientes a la Clasificación por Objeto del Gasto (Capítulo y Concepto), el hipervínculo al Estado Analítico del Ejercicio del Presupuesto de Egresos completo.</t>
  </si>
  <si>
    <t>1</t>
  </si>
  <si>
    <t>4</t>
  </si>
  <si>
    <t>10</t>
  </si>
  <si>
    <t>7</t>
  </si>
  <si>
    <t>2</t>
  </si>
  <si>
    <t>13</t>
  </si>
  <si>
    <t>14</t>
  </si>
  <si>
    <t>439553</t>
  </si>
  <si>
    <t>439558</t>
  </si>
  <si>
    <t>439557</t>
  </si>
  <si>
    <t>439561</t>
  </si>
  <si>
    <t>439556</t>
  </si>
  <si>
    <t>439560</t>
  </si>
  <si>
    <t>439555</t>
  </si>
  <si>
    <t>439559</t>
  </si>
  <si>
    <t>Tabla Campos</t>
  </si>
  <si>
    <t>Ejercicio</t>
  </si>
  <si>
    <t>Fecha de inicio del periodo que se informa</t>
  </si>
  <si>
    <t>Fecha de término del periodo que se informa</t>
  </si>
  <si>
    <t>Clasificación del estado analítico del ejercicio del presupuesto por objeto de gasto 
Tabla_439561</t>
  </si>
  <si>
    <t>Hipervínculo al Estado analítico del ejercicio del Presupuesto de Egresos</t>
  </si>
  <si>
    <t>Área(s) responsable(s) que genera(n), posee(n), publica(n) y actualizan la información</t>
  </si>
  <si>
    <t>Fecha de actualización</t>
  </si>
  <si>
    <t>Nota</t>
  </si>
  <si>
    <t>6</t>
  </si>
  <si>
    <t>56858</t>
  </si>
  <si>
    <t>56859</t>
  </si>
  <si>
    <t>56860</t>
  </si>
  <si>
    <t>56861</t>
  </si>
  <si>
    <t>56862</t>
  </si>
  <si>
    <t>56863</t>
  </si>
  <si>
    <t>56864</t>
  </si>
  <si>
    <t>56865</t>
  </si>
  <si>
    <t>ID</t>
  </si>
  <si>
    <t>Clave del capítulo de gasto</t>
  </si>
  <si>
    <t>Denominación del Capítulo de gasto</t>
  </si>
  <si>
    <t>Presupuesto aprobado</t>
  </si>
  <si>
    <t>Ampliación / (Reducciones)</t>
  </si>
  <si>
    <t>Modificado</t>
  </si>
  <si>
    <t>Devengado</t>
  </si>
  <si>
    <t>Pagado</t>
  </si>
  <si>
    <t>Subejercicio</t>
  </si>
  <si>
    <t>SERVICIOS PERSONALES</t>
  </si>
  <si>
    <t>MATERIALES Y SUMINISTROS</t>
  </si>
  <si>
    <t>SERVICIOS GENERALES</t>
  </si>
  <si>
    <t>TRANSFERENCIAS, ASIGNACIONES, SUBSIDIOS</t>
  </si>
  <si>
    <t>BIENES MUEBLES, INMUEBLES E INTANGIBLES</t>
  </si>
  <si>
    <t xml:space="preserve">DIRECCIÓN EJECUTIVA DE ADMINISTRACIÓN </t>
  </si>
  <si>
    <t>https://micrositios.oplever.org.mx/cg/wp-content/uploads/sites/6/gestion_finaciera/2025/2T_InformeGF2025.pdf</t>
  </si>
  <si>
    <t>https://micrositios.oplever.org.mx/cg/wp-content/uploads/sites/6/gestion_finaciera/2025/1T_InformeGF2025.pdf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</si>
</sst>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5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0" borderId="0" xfId="0"/>
    <xf numFmtId="14" fontId="0" fillId="0" borderId="0" xfId="0" applyNumberFormat="1"/>
    <xf numFmtId="0" fontId="0" fillId="0" borderId="0" xfId="0"/>
    <xf numFmtId="44" fontId="0" fillId="0" borderId="0" xfId="2" applyFont="1"/>
    <xf numFmtId="44" fontId="1" fillId="2" borderId="1" xfId="2" applyFont="1" applyFill="1" applyBorder="1" applyAlignment="1">
      <alignment horizontal="center" wrapText="1"/>
    </xf>
    <xf numFmtId="43" fontId="0" fillId="0" borderId="0" xfId="1" applyFont="1"/>
    <xf numFmtId="43" fontId="1" fillId="2" borderId="1" xfId="1" applyFont="1" applyFill="1" applyBorder="1" applyAlignment="1">
      <alignment horizontal="center" wrapText="1"/>
    </xf>
    <xf numFmtId="14" fontId="0" fillId="0" borderId="0" xfId="0" applyNumberFormat="1" applyAlignment="1">
      <alignment horizontal="right"/>
    </xf>
    <xf numFmtId="0" fontId="0" fillId="0" borderId="0" xfId="0"/>
    <xf numFmtId="43" fontId="0" fillId="0" borderId="0" xfId="0" applyNumberFormat="1"/>
    <xf numFmtId="44" fontId="0" fillId="0" borderId="0" xfId="0" applyNumberFormat="1"/>
    <xf numFmtId="0" fontId="0" fillId="0" borderId="0" xfId="2" applyNumberFormat="1" applyFont="1"/>
    <xf numFmtId="0" fontId="0" fillId="0" borderId="0" xfId="1" applyNumberFormat="1" applyFont="1"/>
    <xf numFmtId="0" fontId="4" fillId="0" borderId="0" xfId="3"/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4">
    <cellStyle name="Hipervínculo" xfId="3" builtinId="8"/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opLeftCell="A2" workbookViewId="0">
      <selection activeCell="A8" sqref="A8:H12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70.140625" bestFit="1" customWidth="1"/>
    <col min="5" max="5" width="61.42578125" bestFit="1" customWidth="1"/>
    <col min="6" max="6" width="73.140625" bestFit="1" customWidth="1"/>
    <col min="7" max="7" width="20" bestFit="1" customWidth="1"/>
    <col min="8" max="8" width="8" bestFit="1" customWidth="1"/>
  </cols>
  <sheetData>
    <row r="1" spans="1:9" hidden="1" x14ac:dyDescent="0.25">
      <c r="A1" t="s">
        <v>0</v>
      </c>
    </row>
    <row r="2" spans="1:9" x14ac:dyDescent="0.25">
      <c r="A2" s="18" t="s">
        <v>1</v>
      </c>
      <c r="B2" s="19"/>
      <c r="C2" s="19"/>
      <c r="D2" s="18" t="s">
        <v>2</v>
      </c>
      <c r="E2" s="19"/>
      <c r="F2" s="19"/>
      <c r="G2" s="18" t="s">
        <v>3</v>
      </c>
      <c r="H2" s="19"/>
      <c r="I2" s="19"/>
    </row>
    <row r="3" spans="1:9" x14ac:dyDescent="0.25">
      <c r="A3" s="20" t="s">
        <v>4</v>
      </c>
      <c r="B3" s="19"/>
      <c r="C3" s="19"/>
      <c r="D3" s="20" t="s">
        <v>5</v>
      </c>
      <c r="E3" s="19"/>
      <c r="F3" s="19"/>
      <c r="G3" s="20" t="s">
        <v>6</v>
      </c>
      <c r="H3" s="19"/>
      <c r="I3" s="19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</row>
    <row r="5" spans="1:9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9" x14ac:dyDescent="0.25">
      <c r="A6" s="18" t="s">
        <v>22</v>
      </c>
      <c r="B6" s="19"/>
      <c r="C6" s="19"/>
      <c r="D6" s="19"/>
      <c r="E6" s="19"/>
      <c r="F6" s="19"/>
      <c r="G6" s="19"/>
      <c r="H6" s="19"/>
    </row>
    <row r="7" spans="1:9" ht="26.25" x14ac:dyDescent="0.25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30</v>
      </c>
    </row>
    <row r="8" spans="1:9" x14ac:dyDescent="0.25">
      <c r="A8" s="17">
        <v>2025</v>
      </c>
      <c r="B8" s="4">
        <v>45658</v>
      </c>
      <c r="C8" s="4">
        <v>45747</v>
      </c>
      <c r="D8" s="17">
        <v>1</v>
      </c>
      <c r="E8" s="16" t="s">
        <v>56</v>
      </c>
      <c r="F8" s="17" t="s">
        <v>54</v>
      </c>
      <c r="G8" s="4">
        <v>45747</v>
      </c>
      <c r="H8" s="17"/>
    </row>
    <row r="9" spans="1:9" x14ac:dyDescent="0.25">
      <c r="A9" s="17">
        <v>2025</v>
      </c>
      <c r="B9" s="4">
        <v>45658</v>
      </c>
      <c r="C9" s="4">
        <v>45747</v>
      </c>
      <c r="D9" s="17">
        <v>2</v>
      </c>
      <c r="E9" s="16" t="s">
        <v>56</v>
      </c>
      <c r="F9" s="17" t="s">
        <v>54</v>
      </c>
      <c r="G9" s="4">
        <v>45747</v>
      </c>
      <c r="H9" s="17"/>
    </row>
    <row r="10" spans="1:9" x14ac:dyDescent="0.25">
      <c r="A10" s="17">
        <v>2025</v>
      </c>
      <c r="B10" s="4">
        <v>45658</v>
      </c>
      <c r="C10" s="4">
        <v>45747</v>
      </c>
      <c r="D10" s="17">
        <v>3</v>
      </c>
      <c r="E10" s="16" t="s">
        <v>56</v>
      </c>
      <c r="F10" s="17" t="s">
        <v>54</v>
      </c>
      <c r="G10" s="4">
        <v>45747</v>
      </c>
      <c r="H10" s="17"/>
    </row>
    <row r="11" spans="1:9" x14ac:dyDescent="0.25">
      <c r="A11" s="17">
        <v>2025</v>
      </c>
      <c r="B11" s="4">
        <v>45658</v>
      </c>
      <c r="C11" s="4">
        <v>45747</v>
      </c>
      <c r="D11" s="17">
        <v>4</v>
      </c>
      <c r="E11" s="16" t="s">
        <v>56</v>
      </c>
      <c r="F11" s="17" t="s">
        <v>54</v>
      </c>
      <c r="G11" s="4">
        <v>45747</v>
      </c>
      <c r="H11" s="17"/>
    </row>
    <row r="12" spans="1:9" x14ac:dyDescent="0.25">
      <c r="A12" s="17">
        <v>2025</v>
      </c>
      <c r="B12" s="4">
        <v>45658</v>
      </c>
      <c r="C12" s="4">
        <v>45747</v>
      </c>
      <c r="D12" s="17">
        <v>5</v>
      </c>
      <c r="E12" s="16" t="s">
        <v>56</v>
      </c>
      <c r="F12" s="17" t="s">
        <v>54</v>
      </c>
      <c r="G12" s="4">
        <v>45747</v>
      </c>
      <c r="H12" s="17"/>
    </row>
    <row r="13" spans="1:9" x14ac:dyDescent="0.25">
      <c r="A13">
        <v>2025</v>
      </c>
      <c r="B13" s="4">
        <v>45748</v>
      </c>
      <c r="C13" s="10">
        <v>45838</v>
      </c>
      <c r="D13">
        <v>1</v>
      </c>
      <c r="E13" s="16" t="s">
        <v>55</v>
      </c>
      <c r="F13" s="3" t="s">
        <v>54</v>
      </c>
      <c r="G13" s="4">
        <v>45838</v>
      </c>
    </row>
    <row r="14" spans="1:9" x14ac:dyDescent="0.25">
      <c r="A14" s="11">
        <v>2025</v>
      </c>
      <c r="B14" s="4">
        <v>45748</v>
      </c>
      <c r="C14" s="10">
        <v>45838</v>
      </c>
      <c r="D14">
        <v>2</v>
      </c>
      <c r="E14" s="16" t="s">
        <v>55</v>
      </c>
      <c r="F14" s="5" t="s">
        <v>54</v>
      </c>
      <c r="G14" s="4">
        <v>45838</v>
      </c>
    </row>
    <row r="15" spans="1:9" x14ac:dyDescent="0.25">
      <c r="A15" s="11">
        <v>2025</v>
      </c>
      <c r="B15" s="4">
        <v>45748</v>
      </c>
      <c r="C15" s="10">
        <v>45838</v>
      </c>
      <c r="D15">
        <v>3</v>
      </c>
      <c r="E15" s="16" t="s">
        <v>55</v>
      </c>
      <c r="F15" s="5" t="s">
        <v>54</v>
      </c>
      <c r="G15" s="4">
        <v>45838</v>
      </c>
    </row>
    <row r="16" spans="1:9" x14ac:dyDescent="0.25">
      <c r="A16" s="11">
        <v>2025</v>
      </c>
      <c r="B16" s="4">
        <v>45748</v>
      </c>
      <c r="C16" s="10">
        <v>45838</v>
      </c>
      <c r="D16">
        <v>4</v>
      </c>
      <c r="E16" s="16" t="s">
        <v>55</v>
      </c>
      <c r="F16" s="5" t="s">
        <v>54</v>
      </c>
      <c r="G16" s="4">
        <v>45838</v>
      </c>
    </row>
    <row r="17" spans="1:7" x14ac:dyDescent="0.25">
      <c r="A17" s="11">
        <v>2025</v>
      </c>
      <c r="B17" s="4">
        <v>45748</v>
      </c>
      <c r="C17" s="10">
        <v>45838</v>
      </c>
      <c r="D17">
        <v>5</v>
      </c>
      <c r="E17" s="16" t="s">
        <v>55</v>
      </c>
      <c r="F17" s="5" t="s">
        <v>54</v>
      </c>
      <c r="G17" s="4">
        <v>45838</v>
      </c>
    </row>
  </sheetData>
  <mergeCells count="7">
    <mergeCell ref="A6:H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tabSelected="1" topLeftCell="A3" zoomScale="80" zoomScaleNormal="80" workbookViewId="0">
      <selection activeCell="A4" sqref="A4:I8"/>
    </sheetView>
  </sheetViews>
  <sheetFormatPr baseColWidth="10" defaultColWidth="9.140625" defaultRowHeight="15" x14ac:dyDescent="0.25"/>
  <cols>
    <col min="1" max="1" width="5" customWidth="1"/>
    <col min="2" max="2" width="29.28515625" bestFit="1" customWidth="1"/>
    <col min="3" max="3" width="41.140625" customWidth="1"/>
    <col min="4" max="4" width="24.5703125" style="6" bestFit="1" customWidth="1"/>
    <col min="5" max="5" width="29.140625" style="6" bestFit="1" customWidth="1"/>
    <col min="6" max="6" width="17.85546875" style="6" customWidth="1"/>
    <col min="7" max="7" width="18.140625" style="6" customWidth="1"/>
    <col min="8" max="8" width="18.5703125" style="6" customWidth="1"/>
    <col min="9" max="9" width="17.85546875" style="8" customWidth="1"/>
    <col min="11" max="11" width="19" customWidth="1"/>
    <col min="12" max="12" width="9.140625" customWidth="1"/>
  </cols>
  <sheetData>
    <row r="1" spans="1:11" hidden="1" x14ac:dyDescent="0.25">
      <c r="B1" t="s">
        <v>11</v>
      </c>
      <c r="C1" t="s">
        <v>11</v>
      </c>
      <c r="D1" s="6" t="s">
        <v>31</v>
      </c>
      <c r="E1" s="6" t="s">
        <v>31</v>
      </c>
      <c r="F1" s="6" t="s">
        <v>31</v>
      </c>
      <c r="G1" s="6" t="s">
        <v>31</v>
      </c>
      <c r="H1" s="6" t="s">
        <v>31</v>
      </c>
      <c r="I1" s="8" t="s">
        <v>31</v>
      </c>
    </row>
    <row r="2" spans="1:11" hidden="1" x14ac:dyDescent="0.25">
      <c r="B2" t="s">
        <v>32</v>
      </c>
      <c r="C2" t="s">
        <v>33</v>
      </c>
      <c r="D2" s="6" t="s">
        <v>34</v>
      </c>
      <c r="E2" s="6" t="s">
        <v>35</v>
      </c>
      <c r="F2" s="6" t="s">
        <v>36</v>
      </c>
      <c r="G2" s="6" t="s">
        <v>37</v>
      </c>
      <c r="H2" s="6" t="s">
        <v>38</v>
      </c>
      <c r="I2" s="8" t="s">
        <v>39</v>
      </c>
    </row>
    <row r="3" spans="1:11" ht="30" x14ac:dyDescent="0.25">
      <c r="A3" s="1" t="s">
        <v>40</v>
      </c>
      <c r="B3" s="1" t="s">
        <v>41</v>
      </c>
      <c r="C3" s="1" t="s">
        <v>42</v>
      </c>
      <c r="D3" s="7" t="s">
        <v>43</v>
      </c>
      <c r="E3" s="7" t="s">
        <v>44</v>
      </c>
      <c r="F3" s="7" t="s">
        <v>45</v>
      </c>
      <c r="G3" s="7" t="s">
        <v>46</v>
      </c>
      <c r="H3" s="7" t="s">
        <v>47</v>
      </c>
      <c r="I3" s="9" t="s">
        <v>48</v>
      </c>
    </row>
    <row r="4" spans="1:11" x14ac:dyDescent="0.25">
      <c r="A4" s="17">
        <v>1</v>
      </c>
      <c r="B4" s="17">
        <v>10000000</v>
      </c>
      <c r="C4" s="17" t="s">
        <v>49</v>
      </c>
      <c r="D4" s="14">
        <v>366958889</v>
      </c>
      <c r="E4" s="14">
        <v>0</v>
      </c>
      <c r="F4" s="14">
        <v>366958889</v>
      </c>
      <c r="G4" s="14">
        <v>77793040</v>
      </c>
      <c r="H4" s="14">
        <v>76882747</v>
      </c>
      <c r="I4" s="15">
        <f>366958889-77793040</f>
        <v>289165849</v>
      </c>
    </row>
    <row r="5" spans="1:11" x14ac:dyDescent="0.25">
      <c r="A5" s="17">
        <v>2</v>
      </c>
      <c r="B5" s="17">
        <v>20000000</v>
      </c>
      <c r="C5" s="17" t="s">
        <v>50</v>
      </c>
      <c r="D5" s="14">
        <v>330465898</v>
      </c>
      <c r="E5" s="14">
        <v>26758616</v>
      </c>
      <c r="F5" s="14">
        <v>357224514</v>
      </c>
      <c r="G5" s="14">
        <v>54641044</v>
      </c>
      <c r="H5" s="14">
        <v>52443543</v>
      </c>
      <c r="I5" s="15">
        <f>357224514-54641044</f>
        <v>302583470</v>
      </c>
    </row>
    <row r="6" spans="1:11" x14ac:dyDescent="0.25">
      <c r="A6" s="17">
        <v>3</v>
      </c>
      <c r="B6" s="17">
        <v>30000000</v>
      </c>
      <c r="C6" s="17" t="s">
        <v>51</v>
      </c>
      <c r="D6" s="14">
        <v>416708020</v>
      </c>
      <c r="E6" s="14">
        <v>-27258069</v>
      </c>
      <c r="F6" s="14">
        <v>389449951</v>
      </c>
      <c r="G6" s="14">
        <v>63481326</v>
      </c>
      <c r="H6" s="14">
        <v>62134870</v>
      </c>
      <c r="I6" s="15">
        <f>389449951-63481326</f>
        <v>325968625</v>
      </c>
      <c r="K6" s="13"/>
    </row>
    <row r="7" spans="1:11" x14ac:dyDescent="0.25">
      <c r="A7" s="17">
        <v>4</v>
      </c>
      <c r="B7" s="17">
        <v>40000000</v>
      </c>
      <c r="C7" s="17" t="s">
        <v>52</v>
      </c>
      <c r="D7" s="14">
        <v>285867193</v>
      </c>
      <c r="E7" s="14">
        <v>0</v>
      </c>
      <c r="F7" s="14">
        <v>285867193</v>
      </c>
      <c r="G7" s="14">
        <v>85125696</v>
      </c>
      <c r="H7" s="14">
        <v>85125696</v>
      </c>
      <c r="I7" s="15">
        <f>285867193-85125696</f>
        <v>200741497</v>
      </c>
      <c r="K7" s="12"/>
    </row>
    <row r="8" spans="1:11" x14ac:dyDescent="0.25">
      <c r="A8" s="17">
        <v>5</v>
      </c>
      <c r="B8" s="17">
        <v>50000000</v>
      </c>
      <c r="C8" s="17" t="s">
        <v>53</v>
      </c>
      <c r="D8" s="14">
        <v>0</v>
      </c>
      <c r="E8" s="14">
        <v>6869743</v>
      </c>
      <c r="F8" s="14">
        <v>6869743</v>
      </c>
      <c r="G8" s="14">
        <v>0</v>
      </c>
      <c r="H8" s="14">
        <v>0</v>
      </c>
      <c r="I8" s="15">
        <f>6869743-0</f>
        <v>6869743</v>
      </c>
    </row>
    <row r="9" spans="1:11" x14ac:dyDescent="0.25">
      <c r="A9">
        <v>1</v>
      </c>
      <c r="B9">
        <v>10000000</v>
      </c>
      <c r="C9" t="s">
        <v>49</v>
      </c>
      <c r="D9" s="14">
        <v>366965889</v>
      </c>
      <c r="E9" s="14">
        <v>-19919716</v>
      </c>
      <c r="F9" s="14">
        <v>347039173</v>
      </c>
      <c r="G9" s="14">
        <v>184021070</v>
      </c>
      <c r="H9" s="14">
        <v>182866016</v>
      </c>
      <c r="I9" s="15">
        <f>347039173-184021.7</f>
        <v>346855151.30000001</v>
      </c>
    </row>
    <row r="10" spans="1:11" x14ac:dyDescent="0.25">
      <c r="A10">
        <v>2</v>
      </c>
      <c r="B10">
        <v>20000000</v>
      </c>
      <c r="C10" t="s">
        <v>50</v>
      </c>
      <c r="D10" s="14">
        <v>330465898</v>
      </c>
      <c r="E10" s="14">
        <v>5284622</v>
      </c>
      <c r="F10" s="14">
        <v>335750520</v>
      </c>
      <c r="G10" s="14">
        <v>322561642</v>
      </c>
      <c r="H10" s="14">
        <v>322561642</v>
      </c>
      <c r="I10" s="15">
        <f>335750520-322561642</f>
        <v>13188878</v>
      </c>
    </row>
    <row r="11" spans="1:11" x14ac:dyDescent="0.25">
      <c r="A11">
        <v>3</v>
      </c>
      <c r="B11">
        <v>30000000</v>
      </c>
      <c r="C11" t="s">
        <v>51</v>
      </c>
      <c r="D11" s="14">
        <v>416708020</v>
      </c>
      <c r="E11" s="14">
        <f>10574867+11887672</f>
        <v>22462539</v>
      </c>
      <c r="F11" s="14">
        <v>470092864</v>
      </c>
      <c r="G11" s="14">
        <v>276260302</v>
      </c>
      <c r="H11" s="14">
        <v>274107066</v>
      </c>
      <c r="I11" s="15">
        <f>470092864+276260302</f>
        <v>746353166</v>
      </c>
    </row>
    <row r="12" spans="1:11" x14ac:dyDescent="0.25">
      <c r="A12">
        <v>4</v>
      </c>
      <c r="B12">
        <v>40000000</v>
      </c>
      <c r="C12" t="s">
        <v>52</v>
      </c>
      <c r="D12" s="14">
        <v>285867193</v>
      </c>
      <c r="E12" s="14">
        <v>-3400000</v>
      </c>
      <c r="F12" s="14">
        <v>282467193</v>
      </c>
      <c r="G12" s="14">
        <v>162226605</v>
      </c>
      <c r="H12" s="14">
        <v>162226605</v>
      </c>
      <c r="I12" s="15">
        <f>282467193-162226605</f>
        <v>120240588</v>
      </c>
    </row>
    <row r="13" spans="1:11" x14ac:dyDescent="0.25">
      <c r="A13">
        <v>5</v>
      </c>
      <c r="B13">
        <v>50000000</v>
      </c>
      <c r="C13" s="3" t="s">
        <v>53</v>
      </c>
      <c r="D13" s="14">
        <v>0</v>
      </c>
      <c r="E13" s="14">
        <v>6147422</v>
      </c>
      <c r="F13" s="14">
        <v>6147422</v>
      </c>
      <c r="G13" s="14">
        <v>5901209</v>
      </c>
      <c r="H13" s="14">
        <v>5901209</v>
      </c>
      <c r="I13" s="15">
        <f>6147422-5901209</f>
        <v>246213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de Formatos</vt:lpstr>
      <vt:lpstr>Tabla_439561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OPLE</cp:lastModifiedBy>
  <dcterms:created xsi:type="dcterms:W3CDTF">2024-04-01T17:03:22Z</dcterms:created>
  <dcterms:modified xsi:type="dcterms:W3CDTF">2025-08-02T01:18:26Z</dcterms:modified>
</cp:coreProperties>
</file>